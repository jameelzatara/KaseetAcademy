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دفعا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<sst xmlns="http://schemas.openxmlformats.org/spreadsheetml/2006/main" count="145" uniqueCount="64">
  <si>
    <t xml:space="preserve">دفعات ماستركلاس التعليق — أساسيات التعليق الصوتي</t>
  </si>
  <si>
    <t xml:space="preserve">المتبقّي والامتلاء % محسوبان تلقائياً · حضوري = 16 ساعة (8 محاضرات) · مباشر تفاعلي = 12 ساعة (6 محاضرات)</t>
  </si>
  <si>
    <t xml:space="preserve">#</t>
  </si>
  <si>
    <t xml:space="preserve">البرنامج</t>
  </si>
  <si>
    <t xml:space="preserve">النمط</t>
  </si>
  <si>
    <t xml:space="preserve">الحالة</t>
  </si>
  <si>
    <t xml:space="preserve">المدرّب</t>
  </si>
  <si>
    <t xml:space="preserve">البداية</t>
  </si>
  <si>
    <t xml:space="preserve">الانتهاء</t>
  </si>
  <si>
    <t xml:space="preserve">الأيام</t>
  </si>
  <si>
    <t xml:space="preserve">الوقت</t>
  </si>
  <si>
    <t xml:space="preserve">الساعات</t>
  </si>
  <si>
    <t xml:space="preserve">السعة</t>
  </si>
  <si>
    <t xml:space="preserve">المسجّلون</t>
  </si>
  <si>
    <t xml:space="preserve">المتبقّي</t>
  </si>
  <si>
    <t xml:space="preserve">الامتلاء %</t>
  </si>
  <si>
    <t xml:space="preserve">المنصّة</t>
  </si>
  <si>
    <t xml:space="preserve">أساسيات التعليق الصوتي</t>
  </si>
  <si>
    <t xml:space="preserve">حضوري</t>
  </si>
  <si>
    <t xml:space="preserve">جارية</t>
  </si>
  <si>
    <t xml:space="preserve">يسار عبده</t>
  </si>
  <si>
    <t xml:space="preserve">2026-08-05</t>
  </si>
  <si>
    <t xml:space="preserve">2026-08-31</t>
  </si>
  <si>
    <t xml:space="preserve">الاثنين والأربعاء</t>
  </si>
  <si>
    <t xml:space="preserve">12:00 ظهراً – 2:00 بعد الظهر</t>
  </si>
  <si>
    <t xml:space="preserve">استوديو كاسيت</t>
  </si>
  <si>
    <t xml:space="preserve">مباشر تفاعلي</t>
  </si>
  <si>
    <t xml:space="preserve">رنا العزام</t>
  </si>
  <si>
    <t xml:space="preserve">2026-08-07</t>
  </si>
  <si>
    <t xml:space="preserve">2026-09-11</t>
  </si>
  <si>
    <t xml:space="preserve">الجمعة</t>
  </si>
  <si>
    <t xml:space="preserve">5:00 عصراً – 7:00 مساءً</t>
  </si>
  <si>
    <t xml:space="preserve">Google Meet</t>
  </si>
  <si>
    <t xml:space="preserve">عمر الدرابكة</t>
  </si>
  <si>
    <t xml:space="preserve">2026-08-17</t>
  </si>
  <si>
    <t xml:space="preserve">2026-09-02</t>
  </si>
  <si>
    <t xml:space="preserve">6:00 مساءً – 8:00 مساءً</t>
  </si>
  <si>
    <t xml:space="preserve">2026-08-18</t>
  </si>
  <si>
    <t xml:space="preserve">2026-09-03</t>
  </si>
  <si>
    <t xml:space="preserve">الثلاثاء والخميس</t>
  </si>
  <si>
    <t xml:space="preserve">متاحة</t>
  </si>
  <si>
    <t xml:space="preserve">2026-08-29</t>
  </si>
  <si>
    <t xml:space="preserve">2026-10-03</t>
  </si>
  <si>
    <t xml:space="preserve">السبت</t>
  </si>
  <si>
    <t xml:space="preserve">2026-09-16</t>
  </si>
  <si>
    <t xml:space="preserve">متقدمة</t>
  </si>
  <si>
    <t xml:space="preserve">2026-09-01</t>
  </si>
  <si>
    <t xml:space="preserve">2026-10-06</t>
  </si>
  <si>
    <t xml:space="preserve">الثلاثاء</t>
  </si>
  <si>
    <t xml:space="preserve">2026-09-19</t>
  </si>
  <si>
    <t xml:space="preserve">2026-10-24</t>
  </si>
  <si>
    <t xml:space="preserve">2026-09-15</t>
  </si>
  <si>
    <t xml:space="preserve">2026-10-12</t>
  </si>
  <si>
    <t xml:space="preserve">2026-08-10</t>
  </si>
  <si>
    <t xml:space="preserve">2026-08-27</t>
  </si>
  <si>
    <t xml:space="preserve">2026-09-13</t>
  </si>
  <si>
    <t xml:space="preserve">الأحد والثلاثاء والخميس</t>
  </si>
  <si>
    <t xml:space="preserve">التعليق الصوتي الوثائقي (متقدم)</t>
  </si>
  <si>
    <t xml:space="preserve">2026-08-30</t>
  </si>
  <si>
    <t xml:space="preserve">2026-09-23</t>
  </si>
  <si>
    <t xml:space="preserve">4:00 عصراً – 6:00 مساءً</t>
  </si>
  <si>
    <t xml:space="preserve">2026-09-17</t>
  </si>
  <si>
    <t xml:space="preserve">الإجمالي</t>
  </si>
  <si>
    <t xml:space="preserve">ملاحظات: المتبقّي = 0 يظهر بالأحمر (ممتلئة) · «جارية» أخضر و«متاحة» ذهبي · التواريخ الناقصة حُسبت آلياً على أساس 8 محاضرات حضورية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</si>
</sst>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4343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3434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2C374B"/>
      <name val="Arial"/>
      <family val="0"/>
      <charset val="1"/>
    </font>
    <font>
      <sz val="9"/>
      <color rgb="FF43434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374B"/>
        <bgColor rgb="FF434345"/>
      </patternFill>
    </fill>
    <fill>
      <patternFill patternType="solid">
        <fgColor rgb="FFFCFBFB"/>
        <bgColor rgb="FFFFFFFF"/>
      </patternFill>
    </fill>
    <fill>
      <patternFill patternType="solid">
        <fgColor rgb="FFFBF3D9"/>
        <bgColor rgb="FFFCFBFB"/>
      </patternFill>
    </fill>
    <fill>
      <patternFill patternType="solid">
        <fgColor rgb="FF1F9D57"/>
        <bgColor rgb="FF008080"/>
      </patternFill>
    </fill>
    <fill>
      <patternFill patternType="solid">
        <fgColor rgb="FFE8F0F1"/>
        <bgColor rgb="FFFBF3D9"/>
      </patternFill>
    </fill>
    <fill>
      <patternFill patternType="solid">
        <fgColor rgb="FFFFC107"/>
        <bgColor rgb="FFFF9900"/>
      </patternFill>
    </fill>
    <fill>
      <patternFill patternType="solid">
        <fgColor rgb="FF434345"/>
        <bgColor rgb="FF2C374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2453C"/>
      </font>
    </dxf>
    <dxf>
      <font>
        <name val="Arial"/>
        <charset val="1"/>
        <family val="0"/>
        <b val="1"/>
        <color rgb="FF1F9D57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453C"/>
      <rgbColor rgb="FFFBF3D9"/>
      <rgbColor rgb="FFE8F0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FB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666699"/>
      <rgbColor rgb="FF969696"/>
      <rgbColor rgb="FF003366"/>
      <rgbColor rgb="FF1F9D57"/>
      <rgbColor rgb="FF003300"/>
      <rgbColor rgb="FF434345"/>
      <rgbColor rgb="FF993300"/>
      <rgbColor rgb="FF993366"/>
      <rgbColor rgb="FF333399"/>
      <rgbColor rgb="FF2C37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30" hidden="false" customHeight="true" outlineLevel="0" collapsed="false">
      <c r="A4" s="4" t="n">
        <v>1</v>
      </c>
      <c r="B4" s="5" t="s">
        <v>17</v>
      </c>
      <c r="C4" s="6" t="s">
        <v>18</v>
      </c>
      <c r="D4" s="7" t="s">
        <v>19</v>
      </c>
      <c r="E4" s="8" t="s">
        <v>20</v>
      </c>
      <c r="F4" s="9" t="s">
        <v>21</v>
      </c>
      <c r="G4" s="9" t="s">
        <v>22</v>
      </c>
      <c r="H4" s="5" t="s">
        <v>23</v>
      </c>
      <c r="I4" s="5" t="s">
        <v>24</v>
      </c>
      <c r="J4" s="10" t="n">
        <v>16</v>
      </c>
      <c r="K4" s="10" t="n">
        <v>8</v>
      </c>
      <c r="L4" s="8" t="n">
        <v>8</v>
      </c>
      <c r="M4" s="11" t="n">
        <f aca="false">K4-L4</f>
        <v>0</v>
      </c>
      <c r="N4" s="12" t="n">
        <f aca="false">IF(K4=0,0,L4/K4)</f>
        <v>1</v>
      </c>
      <c r="O4" s="8" t="s">
        <v>25</v>
      </c>
    </row>
    <row r="5" customFormat="false" ht="30" hidden="false" customHeight="true" outlineLevel="0" collapsed="false">
      <c r="A5" s="4" t="n">
        <v>2</v>
      </c>
      <c r="B5" s="5" t="s">
        <v>17</v>
      </c>
      <c r="C5" s="13" t="s">
        <v>26</v>
      </c>
      <c r="D5" s="7" t="s">
        <v>19</v>
      </c>
      <c r="E5" s="8" t="s">
        <v>27</v>
      </c>
      <c r="F5" s="9" t="s">
        <v>28</v>
      </c>
      <c r="G5" s="9" t="s">
        <v>29</v>
      </c>
      <c r="H5" s="5" t="s">
        <v>30</v>
      </c>
      <c r="I5" s="5" t="s">
        <v>31</v>
      </c>
      <c r="J5" s="10" t="n">
        <v>12</v>
      </c>
      <c r="K5" s="10" t="n">
        <v>12</v>
      </c>
      <c r="L5" s="8" t="n">
        <v>11</v>
      </c>
      <c r="M5" s="11" t="n">
        <f aca="false">K5-L5</f>
        <v>1</v>
      </c>
      <c r="N5" s="12" t="n">
        <f aca="false">IF(K5=0,0,L5/K5)</f>
        <v>0.916666666666667</v>
      </c>
      <c r="O5" s="8" t="s">
        <v>32</v>
      </c>
    </row>
    <row r="6" customFormat="false" ht="30" hidden="false" customHeight="true" outlineLevel="0" collapsed="false">
      <c r="A6" s="4" t="n">
        <v>3</v>
      </c>
      <c r="B6" s="5" t="s">
        <v>17</v>
      </c>
      <c r="C6" s="13" t="s">
        <v>26</v>
      </c>
      <c r="D6" s="7" t="s">
        <v>19</v>
      </c>
      <c r="E6" s="8" t="s">
        <v>33</v>
      </c>
      <c r="F6" s="9" t="s">
        <v>34</v>
      </c>
      <c r="G6" s="9" t="s">
        <v>35</v>
      </c>
      <c r="H6" s="5" t="s">
        <v>23</v>
      </c>
      <c r="I6" s="5" t="s">
        <v>36</v>
      </c>
      <c r="J6" s="10" t="n">
        <v>12</v>
      </c>
      <c r="K6" s="10" t="n">
        <v>13</v>
      </c>
      <c r="L6" s="8" t="n">
        <v>13</v>
      </c>
      <c r="M6" s="11" t="n">
        <f aca="false">K6-L6</f>
        <v>0</v>
      </c>
      <c r="N6" s="12" t="n">
        <f aca="false">IF(K6=0,0,L6/K6)</f>
        <v>1</v>
      </c>
      <c r="O6" s="8" t="s">
        <v>32</v>
      </c>
    </row>
    <row r="7" customFormat="false" ht="30" hidden="false" customHeight="true" outlineLevel="0" collapsed="false">
      <c r="A7" s="4" t="n">
        <v>4</v>
      </c>
      <c r="B7" s="5" t="s">
        <v>17</v>
      </c>
      <c r="C7" s="13" t="s">
        <v>26</v>
      </c>
      <c r="D7" s="7" t="s">
        <v>19</v>
      </c>
      <c r="E7" s="8" t="s">
        <v>33</v>
      </c>
      <c r="F7" s="9" t="s">
        <v>37</v>
      </c>
      <c r="G7" s="9" t="s">
        <v>38</v>
      </c>
      <c r="H7" s="5" t="s">
        <v>39</v>
      </c>
      <c r="I7" s="5" t="s">
        <v>31</v>
      </c>
      <c r="J7" s="10" t="n">
        <v>12</v>
      </c>
      <c r="K7" s="10" t="n">
        <v>13</v>
      </c>
      <c r="L7" s="8" t="n">
        <v>13</v>
      </c>
      <c r="M7" s="11" t="n">
        <f aca="false">K7-L7</f>
        <v>0</v>
      </c>
      <c r="N7" s="12" t="n">
        <f aca="false">IF(K7=0,0,L7/K7)</f>
        <v>1</v>
      </c>
      <c r="O7" s="8" t="s">
        <v>32</v>
      </c>
    </row>
    <row r="8" customFormat="false" ht="30" hidden="false" customHeight="true" outlineLevel="0" collapsed="false">
      <c r="A8" s="4" t="n">
        <v>5</v>
      </c>
      <c r="B8" s="5" t="s">
        <v>17</v>
      </c>
      <c r="C8" s="13" t="s">
        <v>26</v>
      </c>
      <c r="D8" s="14" t="s">
        <v>40</v>
      </c>
      <c r="E8" s="8" t="s">
        <v>33</v>
      </c>
      <c r="F8" s="9" t="s">
        <v>41</v>
      </c>
      <c r="G8" s="9" t="s">
        <v>42</v>
      </c>
      <c r="H8" s="5" t="s">
        <v>43</v>
      </c>
      <c r="I8" s="5" t="s">
        <v>24</v>
      </c>
      <c r="J8" s="10" t="n">
        <v>12</v>
      </c>
      <c r="K8" s="10" t="n">
        <v>12</v>
      </c>
      <c r="L8" s="8" t="n">
        <v>1</v>
      </c>
      <c r="M8" s="11" t="n">
        <f aca="false">K8-L8</f>
        <v>11</v>
      </c>
      <c r="N8" s="12" t="n">
        <f aca="false">IF(K8=0,0,L8/K8)</f>
        <v>0.0833333333333333</v>
      </c>
      <c r="O8" s="8" t="s">
        <v>32</v>
      </c>
    </row>
    <row r="9" customFormat="false" ht="30" hidden="false" customHeight="true" outlineLevel="0" collapsed="false">
      <c r="A9" s="4" t="n">
        <v>6</v>
      </c>
      <c r="B9" s="5" t="s">
        <v>17</v>
      </c>
      <c r="C9" s="13" t="s">
        <v>26</v>
      </c>
      <c r="D9" s="14" t="s">
        <v>40</v>
      </c>
      <c r="E9" s="8" t="s">
        <v>33</v>
      </c>
      <c r="F9" s="9" t="s">
        <v>22</v>
      </c>
      <c r="G9" s="9" t="s">
        <v>44</v>
      </c>
      <c r="H9" s="5" t="s">
        <v>23</v>
      </c>
      <c r="I9" s="5" t="s">
        <v>36</v>
      </c>
      <c r="J9" s="10" t="n">
        <v>12</v>
      </c>
      <c r="K9" s="10" t="n">
        <v>13</v>
      </c>
      <c r="L9" s="8" t="n">
        <v>0</v>
      </c>
      <c r="M9" s="11" t="n">
        <f aca="false">K9-L9</f>
        <v>13</v>
      </c>
      <c r="N9" s="12" t="n">
        <f aca="false">IF(K9=0,0,L9/K9)</f>
        <v>0</v>
      </c>
      <c r="O9" s="8" t="s">
        <v>32</v>
      </c>
    </row>
    <row r="10" customFormat="false" ht="30" hidden="false" customHeight="true" outlineLevel="0" collapsed="false">
      <c r="A10" s="4" t="n">
        <v>7</v>
      </c>
      <c r="B10" s="5" t="s">
        <v>45</v>
      </c>
      <c r="C10" s="13" t="s">
        <v>26</v>
      </c>
      <c r="D10" s="14" t="s">
        <v>40</v>
      </c>
      <c r="E10" s="8" t="s">
        <v>33</v>
      </c>
      <c r="F10" s="9" t="s">
        <v>46</v>
      </c>
      <c r="G10" s="9" t="s">
        <v>47</v>
      </c>
      <c r="H10" s="5" t="s">
        <v>48</v>
      </c>
      <c r="I10" s="5" t="s">
        <v>36</v>
      </c>
      <c r="J10" s="10" t="n">
        <v>12</v>
      </c>
      <c r="K10" s="10" t="n">
        <v>7</v>
      </c>
      <c r="L10" s="8" t="n">
        <v>0</v>
      </c>
      <c r="M10" s="11" t="n">
        <f aca="false">K10-L10</f>
        <v>7</v>
      </c>
      <c r="N10" s="12" t="n">
        <f aca="false">IF(K10=0,0,L10/K10)</f>
        <v>0</v>
      </c>
      <c r="O10" s="8" t="s">
        <v>32</v>
      </c>
    </row>
    <row r="11" customFormat="false" ht="30" hidden="false" customHeight="true" outlineLevel="0" collapsed="false">
      <c r="A11" s="4" t="n">
        <v>8</v>
      </c>
      <c r="B11" s="5" t="s">
        <v>17</v>
      </c>
      <c r="C11" s="13" t="s">
        <v>26</v>
      </c>
      <c r="D11" s="14" t="s">
        <v>40</v>
      </c>
      <c r="E11" s="8" t="s">
        <v>27</v>
      </c>
      <c r="F11" s="9" t="s">
        <v>49</v>
      </c>
      <c r="G11" s="9" t="s">
        <v>50</v>
      </c>
      <c r="H11" s="5" t="s">
        <v>43</v>
      </c>
      <c r="I11" s="5" t="s">
        <v>36</v>
      </c>
      <c r="J11" s="10" t="n">
        <v>12</v>
      </c>
      <c r="K11" s="10" t="n">
        <v>13</v>
      </c>
      <c r="L11" s="8" t="n">
        <v>0</v>
      </c>
      <c r="M11" s="11" t="n">
        <f aca="false">K11-L11</f>
        <v>13</v>
      </c>
      <c r="N11" s="12" t="n">
        <f aca="false">IF(K11=0,0,L11/K11)</f>
        <v>0</v>
      </c>
      <c r="O11" s="8" t="s">
        <v>32</v>
      </c>
    </row>
    <row r="12" customFormat="false" ht="30" hidden="false" customHeight="true" outlineLevel="0" collapsed="false">
      <c r="A12" s="4" t="n">
        <v>9</v>
      </c>
      <c r="B12" s="5" t="s">
        <v>17</v>
      </c>
      <c r="C12" s="13" t="s">
        <v>26</v>
      </c>
      <c r="D12" s="14" t="s">
        <v>40</v>
      </c>
      <c r="E12" s="8" t="s">
        <v>20</v>
      </c>
      <c r="F12" s="9" t="s">
        <v>51</v>
      </c>
      <c r="G12" s="9" t="s">
        <v>52</v>
      </c>
      <c r="H12" s="5" t="s">
        <v>43</v>
      </c>
      <c r="I12" s="5" t="s">
        <v>24</v>
      </c>
      <c r="J12" s="10" t="n">
        <v>12</v>
      </c>
      <c r="K12" s="10" t="n">
        <v>13</v>
      </c>
      <c r="L12" s="8" t="n">
        <v>5</v>
      </c>
      <c r="M12" s="11" t="n">
        <f aca="false">K12-L12</f>
        <v>8</v>
      </c>
      <c r="N12" s="12" t="n">
        <f aca="false">IF(K12=0,0,L12/K12)</f>
        <v>0.384615384615385</v>
      </c>
      <c r="O12" s="8" t="s">
        <v>32</v>
      </c>
    </row>
    <row r="13" customFormat="false" ht="30" hidden="false" customHeight="true" outlineLevel="0" collapsed="false">
      <c r="A13" s="4" t="n">
        <v>10</v>
      </c>
      <c r="B13" s="5" t="s">
        <v>17</v>
      </c>
      <c r="C13" s="6" t="s">
        <v>18</v>
      </c>
      <c r="D13" s="7" t="s">
        <v>19</v>
      </c>
      <c r="E13" s="8" t="s">
        <v>20</v>
      </c>
      <c r="F13" s="9" t="s">
        <v>21</v>
      </c>
      <c r="G13" s="9" t="s">
        <v>22</v>
      </c>
      <c r="H13" s="5" t="s">
        <v>23</v>
      </c>
      <c r="I13" s="5" t="s">
        <v>24</v>
      </c>
      <c r="J13" s="10" t="n">
        <v>16</v>
      </c>
      <c r="K13" s="10" t="n">
        <v>10</v>
      </c>
      <c r="L13" s="8" t="n">
        <v>10</v>
      </c>
      <c r="M13" s="11" t="n">
        <f aca="false">K13-L13</f>
        <v>0</v>
      </c>
      <c r="N13" s="12" t="n">
        <f aca="false">IF(K13=0,0,L13/K13)</f>
        <v>1</v>
      </c>
      <c r="O13" s="8" t="s">
        <v>25</v>
      </c>
    </row>
    <row r="14" customFormat="false" ht="30" hidden="false" customHeight="true" outlineLevel="0" collapsed="false">
      <c r="A14" s="4" t="n">
        <v>11</v>
      </c>
      <c r="B14" s="5" t="s">
        <v>17</v>
      </c>
      <c r="C14" s="6" t="s">
        <v>18</v>
      </c>
      <c r="D14" s="7" t="s">
        <v>19</v>
      </c>
      <c r="E14" s="8" t="s">
        <v>27</v>
      </c>
      <c r="F14" s="9" t="s">
        <v>53</v>
      </c>
      <c r="G14" s="9" t="s">
        <v>35</v>
      </c>
      <c r="H14" s="5" t="s">
        <v>23</v>
      </c>
      <c r="I14" s="5" t="s">
        <v>24</v>
      </c>
      <c r="J14" s="10" t="n">
        <v>16</v>
      </c>
      <c r="K14" s="10" t="n">
        <v>10</v>
      </c>
      <c r="L14" s="8" t="n">
        <v>10</v>
      </c>
      <c r="M14" s="11" t="n">
        <f aca="false">K14-L14</f>
        <v>0</v>
      </c>
      <c r="N14" s="12" t="n">
        <f aca="false">IF(K14=0,0,L14/K14)</f>
        <v>1</v>
      </c>
      <c r="O14" s="8" t="s">
        <v>25</v>
      </c>
    </row>
    <row r="15" customFormat="false" ht="30" hidden="false" customHeight="true" outlineLevel="0" collapsed="false">
      <c r="A15" s="4" t="n">
        <v>12</v>
      </c>
      <c r="B15" s="5" t="s">
        <v>17</v>
      </c>
      <c r="C15" s="6" t="s">
        <v>18</v>
      </c>
      <c r="D15" s="14" t="s">
        <v>40</v>
      </c>
      <c r="E15" s="8" t="s">
        <v>27</v>
      </c>
      <c r="F15" s="9" t="s">
        <v>54</v>
      </c>
      <c r="G15" s="9" t="s">
        <v>55</v>
      </c>
      <c r="H15" s="5" t="s">
        <v>56</v>
      </c>
      <c r="I15" s="5" t="s">
        <v>24</v>
      </c>
      <c r="J15" s="10" t="n">
        <v>16</v>
      </c>
      <c r="K15" s="10" t="n">
        <v>10</v>
      </c>
      <c r="L15" s="8" t="n">
        <v>2</v>
      </c>
      <c r="M15" s="11" t="n">
        <f aca="false">K15-L15</f>
        <v>8</v>
      </c>
      <c r="N15" s="12" t="n">
        <f aca="false">IF(K15=0,0,L15/K15)</f>
        <v>0.2</v>
      </c>
      <c r="O15" s="8" t="s">
        <v>25</v>
      </c>
    </row>
    <row r="16" customFormat="false" ht="30" hidden="false" customHeight="true" outlineLevel="0" collapsed="false">
      <c r="A16" s="4" t="n">
        <v>13</v>
      </c>
      <c r="B16" s="5" t="s">
        <v>57</v>
      </c>
      <c r="C16" s="6" t="s">
        <v>18</v>
      </c>
      <c r="D16" s="14" t="s">
        <v>40</v>
      </c>
      <c r="E16" s="8" t="s">
        <v>27</v>
      </c>
      <c r="F16" s="9" t="s">
        <v>58</v>
      </c>
      <c r="G16" s="9" t="s">
        <v>59</v>
      </c>
      <c r="H16" s="5" t="s">
        <v>23</v>
      </c>
      <c r="I16" s="5" t="s">
        <v>60</v>
      </c>
      <c r="J16" s="10" t="n">
        <v>16</v>
      </c>
      <c r="K16" s="10" t="n">
        <v>10</v>
      </c>
      <c r="L16" s="8" t="n">
        <v>4</v>
      </c>
      <c r="M16" s="11" t="n">
        <f aca="false">K16-L16</f>
        <v>6</v>
      </c>
      <c r="N16" s="12" t="n">
        <f aca="false">IF(K16=0,0,L16/K16)</f>
        <v>0.4</v>
      </c>
      <c r="O16" s="8" t="s">
        <v>25</v>
      </c>
    </row>
    <row r="17" customFormat="false" ht="30" hidden="false" customHeight="true" outlineLevel="0" collapsed="false">
      <c r="A17" s="4" t="n">
        <v>14</v>
      </c>
      <c r="B17" s="5" t="s">
        <v>17</v>
      </c>
      <c r="C17" s="6" t="s">
        <v>18</v>
      </c>
      <c r="D17" s="14" t="s">
        <v>40</v>
      </c>
      <c r="E17" s="8" t="s">
        <v>33</v>
      </c>
      <c r="F17" s="9" t="s">
        <v>22</v>
      </c>
      <c r="G17" s="9" t="s">
        <v>61</v>
      </c>
      <c r="H17" s="5" t="s">
        <v>56</v>
      </c>
      <c r="I17" s="5" t="s">
        <v>36</v>
      </c>
      <c r="J17" s="10" t="n">
        <v>16</v>
      </c>
      <c r="K17" s="10" t="n">
        <v>10</v>
      </c>
      <c r="L17" s="8" t="n">
        <v>3</v>
      </c>
      <c r="M17" s="11" t="n">
        <f aca="false">K17-L17</f>
        <v>7</v>
      </c>
      <c r="N17" s="12" t="n">
        <f aca="false">IF(K17=0,0,L17/K17)</f>
        <v>0.3</v>
      </c>
      <c r="O17" s="8" t="s">
        <v>25</v>
      </c>
    </row>
    <row r="18" customFormat="false" ht="27.75" hidden="false" customHeight="true" outlineLevel="0" collapsed="false">
      <c r="A18" s="15"/>
      <c r="B18" s="16" t="s">
        <v>62</v>
      </c>
      <c r="C18" s="15"/>
      <c r="D18" s="15"/>
      <c r="E18" s="15"/>
      <c r="F18" s="15"/>
      <c r="G18" s="15"/>
      <c r="H18" s="15"/>
      <c r="I18" s="15"/>
      <c r="J18" s="15"/>
      <c r="K18" s="17" t="n">
        <f aca="false">SUM(K4:K17)</f>
        <v>154</v>
      </c>
      <c r="L18" s="17" t="n">
        <f aca="false">SUM(L4:L17)</f>
        <v>80</v>
      </c>
      <c r="M18" s="17" t="n">
        <f aca="false">SUM(M4:M17)</f>
        <v>74</v>
      </c>
      <c r="N18" s="18" t="n">
        <f aca="false">IF(K18=0,0,L18/K18)</f>
        <v>0.519480519480519</v>
      </c>
      <c r="O18" s="15"/>
    </row>
    <row r="20" customFormat="false" ht="30" hidden="false" customHeight="true" outlineLevel="0" collapsed="false">
      <c r="A20" s="19" t="s">
        <v>63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</sheetData>
  <mergeCells count="3">
    <mergeCell ref="A1:O1"/>
    <mergeCell ref="A2:O2"/>
    <mergeCell ref="A20:O20"/>
  </mergeCells>
  <conditionalFormatting sqref="M4:M17">
    <cfRule type="cellIs" priority="2" operator="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2026-08-19T10:57:25Z</dcterms:created>
  <dc:creator>openpyxl</dc:creator>
  <dc:description/>
  <dc:language>en-US</dc:language>
  <cp:lastModifiedBy/>
  <dcterms:modified xsi:type="dcterms:W3CDTF">2026-08-19T10:57:25Z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